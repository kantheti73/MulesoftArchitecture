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RateCard" sheetId="2" state="visible" r:id="rId2"/>
    <sheet xmlns:r="http://schemas.openxmlformats.org/officeDocument/2006/relationships" name="02_HoursByPhase" sheetId="3" state="visible" r:id="rId3"/>
    <sheet xmlns:r="http://schemas.openxmlformats.org/officeDocument/2006/relationships" name="03_CalculatedCost" sheetId="4" state="visible" r:id="rId4"/>
    <sheet xmlns:r="http://schemas.openxmlformats.org/officeDocument/2006/relationships" name="04_Discounts" sheetId="5" state="visible" r:id="rId5"/>
    <sheet xmlns:r="http://schemas.openxmlformats.org/officeDocument/2006/relationships" name="05_RiskMargin" sheetId="6" state="visible" r:id="rId6"/>
    <sheet xmlns:r="http://schemas.openxmlformats.org/officeDocument/2006/relationships" name="06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sz val="10"/>
    </font>
    <font>
      <b val="1"/>
      <color rgb="FF1F4E79"/>
      <sz val="11"/>
    </font>
    <font>
      <name val="Consolas"/>
      <sz val="10"/>
    </font>
    <font>
      <name val="Calibri"/>
      <b val="1"/>
      <color rgb="FF1F4E79"/>
      <sz val="14"/>
    </font>
    <font>
      <name val="Calibri"/>
      <i val="1"/>
      <color rgb="FF606060"/>
      <sz val="9"/>
    </font>
    <font>
      <name val="Calibri"/>
      <b val="1"/>
      <color rgb="FFFFFFFF"/>
      <sz val="11"/>
    </font>
    <font>
      <b val="1"/>
    </font>
    <font>
      <name val="Calibri"/>
      <b val="1"/>
      <color rgb="FFC00000"/>
      <sz val="14"/>
    </font>
    <font>
      <name val="Calibri"/>
      <b val="1"/>
      <color rgb="FFC00000"/>
      <sz val="11"/>
    </font>
    <font>
      <b val="1"/>
      <color rgb="FF1F4E79"/>
      <sz val="12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FCE4D6"/>
        <bgColor rgb="FFFCE4D6"/>
      </patternFill>
    </fill>
    <fill>
      <patternFill patternType="solid">
        <fgColor rgb="FFDEEBF7"/>
        <bgColor rgb="FFDEEBF7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left" vertical="center"/>
    </xf>
    <xf numFmtId="0" fontId="2" fillId="4" borderId="1" pivotButton="0" quotePrefix="0" xfId="0"/>
    <xf numFmtId="0" fontId="2" fillId="3" borderId="1" applyAlignment="1" pivotButton="0" quotePrefix="0" xfId="0">
      <alignment horizontal="right" vertical="center"/>
    </xf>
    <xf numFmtId="0" fontId="8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8" fillId="7" borderId="0" pivotButton="0" quotePrefix="0" xfId="0"/>
    <xf numFmtId="0" fontId="8" fillId="7" borderId="1" applyAlignment="1" pivotButton="0" quotePrefix="0" xfId="0">
      <alignment horizontal="right"/>
    </xf>
    <xf numFmtId="0" fontId="9" fillId="0" borderId="0" pivotButton="0" quotePrefix="0" xfId="0"/>
    <xf numFmtId="0" fontId="10" fillId="6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/>
    </xf>
    <xf numFmtId="4" fontId="8" fillId="7" borderId="1" applyAlignment="1" pivotButton="0" quotePrefix="0" xfId="0">
      <alignment horizontal="right"/>
    </xf>
    <xf numFmtId="0" fontId="7" fillId="2" borderId="1" pivotButton="0" quotePrefix="0" xfId="0"/>
    <xf numFmtId="0" fontId="2" fillId="4" borderId="1" applyAlignment="1" pivotButton="0" quotePrefix="0" xfId="0">
      <alignment wrapText="1"/>
    </xf>
    <xf numFmtId="0" fontId="0" fillId="3" borderId="1" applyAlignment="1" pivotButton="0" quotePrefix="0" xfId="0">
      <alignment horizontal="center"/>
    </xf>
    <xf numFmtId="10" fontId="0" fillId="3" borderId="1" applyAlignment="1" pivotButton="0" quotePrefix="0" xfId="0">
      <alignment horizontal="right"/>
    </xf>
    <xf numFmtId="0" fontId="8" fillId="8" borderId="0" pivotButton="0" quotePrefix="0" xfId="0"/>
    <xf numFmtId="10" fontId="8" fillId="8" borderId="1" pivotButton="0" quotePrefix="0" xfId="0"/>
    <xf numFmtId="0" fontId="11" fillId="0" borderId="0" pivotButton="0" quotePrefix="0" xfId="0"/>
    <xf numFmtId="10" fontId="0" fillId="3" borderId="1" pivotButton="0" quotePrefix="0" xfId="0"/>
    <xf numFmtId="0" fontId="7" fillId="2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/>
    </xf>
    <xf numFmtId="4" fontId="0" fillId="5" borderId="1" applyAlignment="1" pivotButton="0" quotePrefix="0" xfId="0">
      <alignment horizontal="right"/>
    </xf>
    <xf numFmtId="4" fontId="8" fillId="8" borderId="1" applyAlignment="1" pivotButton="0" quotePrefix="0" xfId="0">
      <alignment horizontal="right"/>
    </xf>
    <xf numFmtId="3" fontId="8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PRICING TEMPLATE - README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workbook translates the hours estimate from doc 16 into a priced engagement using</t>
        </is>
      </c>
    </row>
    <row r="5">
      <c r="A5" s="2" t="inlineStr">
        <is>
          <t>the rate-card structure from doc 19. Update yellow cells to fit your engagement.</t>
        </is>
      </c>
    </row>
    <row r="6">
      <c r="A6" s="2" t="inlineStr"/>
    </row>
    <row r="7">
      <c r="A7" s="3" t="inlineStr">
        <is>
          <t>WORKBOOK STRUCTURE</t>
        </is>
      </c>
    </row>
    <row r="8">
      <c r="A8" s="4" t="inlineStr">
        <is>
          <t xml:space="preserve">  01_RateCard         Per-role x per-geography rates (YELLOW = edit)</t>
        </is>
      </c>
    </row>
    <row r="9">
      <c r="A9" s="4" t="inlineStr">
        <is>
          <t xml:space="preserve">  02_HoursByPhase     Hours per role per phase + geography assignment (YELLOW = edit)</t>
        </is>
      </c>
    </row>
    <row r="10">
      <c r="A10" s="4" t="inlineStr">
        <is>
          <t xml:space="preserve">  03_CalculatedCost   Auto: hours x rate per phase (GRAY = formula; RED = internal)</t>
        </is>
      </c>
    </row>
    <row r="11">
      <c r="A11" s="4" t="inlineStr">
        <is>
          <t xml:space="preserve">  04_Discounts        Discount triggers + percentages (YELLOW = edit; INTERNAL)</t>
        </is>
      </c>
    </row>
    <row r="12">
      <c r="A12" s="4" t="inlineStr">
        <is>
          <t xml:space="preserve">  05_RiskMargin       Risk markup per phase + margin per role (YELLOW = edit; INTERNAL)</t>
        </is>
      </c>
    </row>
    <row r="13">
      <c r="A13" s="4" t="inlineStr">
        <is>
          <t xml:space="preserve">  06_Summary          Client-facing phase totals + Year-1/Year-2 rollup</t>
        </is>
      </c>
    </row>
    <row r="14">
      <c r="A14" s="2" t="inlineStr"/>
    </row>
    <row r="15">
      <c r="A15" s="3" t="inlineStr">
        <is>
          <t>COLOR LEGEND</t>
        </is>
      </c>
    </row>
    <row r="16">
      <c r="A16" s="4" t="inlineStr">
        <is>
          <t xml:space="preserve">  YELLOW = edit this cell for your engagement</t>
        </is>
      </c>
    </row>
    <row r="17">
      <c r="A17" s="4" t="inlineStr">
        <is>
          <t xml:space="preserve">  GRAY   = formula-driven (do not edit)</t>
        </is>
      </c>
    </row>
    <row r="18">
      <c r="A18" s="4" t="inlineStr">
        <is>
          <t xml:space="preserve">  RED    = INTERNAL-ONLY content (do not share with client)</t>
        </is>
      </c>
    </row>
    <row r="19">
      <c r="A19" s="4" t="inlineStr">
        <is>
          <t xml:space="preserve">  GREEN  = final / output value</t>
        </is>
      </c>
    </row>
    <row r="20">
      <c r="A20" s="2" t="inlineStr"/>
    </row>
    <row r="21">
      <c r="A21" s="3" t="inlineStr">
        <is>
          <t>WORKFLOW</t>
        </is>
      </c>
    </row>
    <row r="22">
      <c r="A22" s="4" t="inlineStr">
        <is>
          <t xml:space="preserve">  1. Open this workbook</t>
        </is>
      </c>
    </row>
    <row r="23">
      <c r="A23" s="4" t="inlineStr">
        <is>
          <t xml:space="preserve">  2. Fill in 01_RateCard for the geographies/roles you'll use (replace '&lt;RATE&gt;' placeholders)</t>
        </is>
      </c>
    </row>
    <row r="24">
      <c r="A24" s="4" t="inlineStr">
        <is>
          <t xml:space="preserve">  3. Adjust 02_HoursByPhase if engagement scope deviates from doc 16 defaults</t>
        </is>
      </c>
    </row>
    <row r="25">
      <c r="A25" s="4" t="inlineStr">
        <is>
          <t xml:space="preserve">  4. Set discounts in 04_Discounts (mark Y/N + %)</t>
        </is>
      </c>
    </row>
    <row r="26">
      <c r="A26" s="4" t="inlineStr">
        <is>
          <t xml:space="preserve">  5. Set risk markup in 05_RiskMargin if defaults don't fit</t>
        </is>
      </c>
    </row>
    <row r="27">
      <c r="A27" s="4" t="inlineStr">
        <is>
          <t xml:space="preserve">  6. Review 06_Summary - share that with client</t>
        </is>
      </c>
    </row>
    <row r="28">
      <c r="A28" s="4" t="inlineStr">
        <is>
          <t xml:space="preserve">  7. Keep 03/04/05 internal - they reveal cost buildup and margin</t>
        </is>
      </c>
    </row>
    <row r="29">
      <c r="A29" s="2" t="inlineStr"/>
    </row>
    <row r="30">
      <c r="A30" s="3" t="inlineStr">
        <is>
          <t>REGENERATING THIS WORKBOOK</t>
        </is>
      </c>
    </row>
    <row r="31">
      <c r="A31" s="4" t="inlineStr">
        <is>
          <t xml:space="preserve">  python pricing/build_pricing_template.py</t>
        </is>
      </c>
    </row>
    <row r="32">
      <c r="A32" s="2" t="inlineStr"/>
    </row>
    <row r="33">
      <c r="A33" s="3" t="inlineStr">
        <is>
          <t>RELATED DOCS</t>
        </is>
      </c>
    </row>
    <row r="34">
      <c r="A34" s="4" t="inlineStr">
        <is>
          <t xml:space="preserve">  docs/16-consulting-estimate.md      - hours source</t>
        </is>
      </c>
    </row>
    <row r="35">
      <c r="A35" s="4" t="inlineStr">
        <is>
          <t xml:space="preserve">  docs/17-engagement-models.md        - commercial structures</t>
        </is>
      </c>
    </row>
    <row r="36">
      <c r="A36" s="4" t="inlineStr">
        <is>
          <t xml:space="preserve">  docs/18-team-roles-and-skills.md    - role definitions</t>
        </is>
      </c>
    </row>
    <row r="37">
      <c r="A37" s="4" t="inlineStr">
        <is>
          <t xml:space="preserve">  docs/19-pricing-model.md            - this file's narrative companion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ROLE / SENIORITY RATE CARD</t>
        </is>
      </c>
    </row>
    <row r="2" ht="30" customHeight="1">
      <c r="A2" s="6" t="inlineStr">
        <is>
          <t>Fill in hourly rates per role/seniority/geography. Yellow cells = edit. Replace '&lt;RATE&gt;' placeholders with your firm's actual rates (in your chosen currency). Used by sheet 03_CalculatedCost.</t>
        </is>
      </c>
    </row>
    <row r="4">
      <c r="A4" s="7" t="inlineStr">
        <is>
          <t>Role</t>
        </is>
      </c>
      <c r="B4" s="7" t="inlineStr">
        <is>
          <t>Seniority</t>
        </is>
      </c>
      <c r="C4" s="7" t="inlineStr">
        <is>
          <t>Onshore</t>
        </is>
      </c>
      <c r="D4" s="7" t="inlineStr">
        <is>
          <t>Nearshore</t>
        </is>
      </c>
      <c r="E4" s="7" t="inlineStr">
        <is>
          <t>Offshore</t>
        </is>
      </c>
    </row>
    <row r="5">
      <c r="A5" s="8" t="inlineStr">
        <is>
          <t>Solution Architect</t>
        </is>
      </c>
      <c r="B5" s="8" t="inlineStr">
        <is>
          <t>Principal</t>
        </is>
      </c>
      <c r="C5" s="9" t="inlineStr">
        <is>
          <t>&lt;RATE&gt;</t>
        </is>
      </c>
      <c r="D5" s="9" t="inlineStr">
        <is>
          <t>&lt;RATE&gt;</t>
        </is>
      </c>
      <c r="E5" s="9" t="inlineStr">
        <is>
          <t>&lt;RATE&gt;</t>
        </is>
      </c>
    </row>
    <row r="6">
      <c r="A6" s="8" t="inlineStr">
        <is>
          <t>Integration Lead Engineer</t>
        </is>
      </c>
      <c r="B6" s="8" t="inlineStr">
        <is>
          <t>Senior</t>
        </is>
      </c>
      <c r="C6" s="9" t="inlineStr">
        <is>
          <t>&lt;RATE&gt;</t>
        </is>
      </c>
      <c r="D6" s="9" t="inlineStr">
        <is>
          <t>&lt;RATE&gt;</t>
        </is>
      </c>
      <c r="E6" s="9" t="inlineStr">
        <is>
          <t>&lt;RATE&gt;</t>
        </is>
      </c>
    </row>
    <row r="7">
      <c r="A7" s="8" t="inlineStr">
        <is>
          <t>Integration Engineer</t>
        </is>
      </c>
      <c r="B7" s="8" t="inlineStr">
        <is>
          <t>Mid</t>
        </is>
      </c>
      <c r="C7" s="9" t="inlineStr">
        <is>
          <t>&lt;RATE&gt;</t>
        </is>
      </c>
      <c r="D7" s="9" t="inlineStr">
        <is>
          <t>&lt;RATE&gt;</t>
        </is>
      </c>
      <c r="E7" s="9" t="inlineStr">
        <is>
          <t>&lt;RATE&gt;</t>
        </is>
      </c>
    </row>
    <row r="8">
      <c r="A8" s="8" t="inlineStr">
        <is>
          <t>Integration Engineer</t>
        </is>
      </c>
      <c r="B8" s="8" t="inlineStr">
        <is>
          <t>Junior</t>
        </is>
      </c>
      <c r="C8" s="9" t="inlineStr">
        <is>
          <t>&lt;RATE&gt;</t>
        </is>
      </c>
      <c r="D8" s="9" t="inlineStr">
        <is>
          <t>&lt;RATE&gt;</t>
        </is>
      </c>
      <c r="E8" s="9" t="inlineStr">
        <is>
          <t>&lt;RATE&gt;</t>
        </is>
      </c>
    </row>
    <row r="9">
      <c r="A9" s="8" t="inlineStr">
        <is>
          <t>DevOps / SRE Engineer</t>
        </is>
      </c>
      <c r="B9" s="8" t="inlineStr">
        <is>
          <t>Senior</t>
        </is>
      </c>
      <c r="C9" s="9" t="inlineStr">
        <is>
          <t>&lt;RATE&gt;</t>
        </is>
      </c>
      <c r="D9" s="9" t="inlineStr">
        <is>
          <t>&lt;RATE&gt;</t>
        </is>
      </c>
      <c r="E9" s="9" t="inlineStr">
        <is>
          <t>&lt;RATE&gt;</t>
        </is>
      </c>
    </row>
    <row r="10">
      <c r="A10" s="8" t="inlineStr">
        <is>
          <t>DevOps / SRE Engineer</t>
        </is>
      </c>
      <c r="B10" s="8" t="inlineStr">
        <is>
          <t>Mid</t>
        </is>
      </c>
      <c r="C10" s="9" t="inlineStr">
        <is>
          <t>&lt;RATE&gt;</t>
        </is>
      </c>
      <c r="D10" s="9" t="inlineStr">
        <is>
          <t>&lt;RATE&gt;</t>
        </is>
      </c>
      <c r="E10" s="9" t="inlineStr">
        <is>
          <t>&lt;RATE&gt;</t>
        </is>
      </c>
    </row>
    <row r="11">
      <c r="A11" s="8" t="inlineStr">
        <is>
          <t>Security Engineer</t>
        </is>
      </c>
      <c r="B11" s="8" t="inlineStr">
        <is>
          <t>Senior</t>
        </is>
      </c>
      <c r="C11" s="9" t="inlineStr">
        <is>
          <t>&lt;RATE&gt;</t>
        </is>
      </c>
      <c r="D11" s="9" t="inlineStr">
        <is>
          <t>&lt;RATE&gt;</t>
        </is>
      </c>
      <c r="E11" s="9" t="inlineStr">
        <is>
          <t>&lt;RATE&gt;</t>
        </is>
      </c>
    </row>
    <row r="12">
      <c r="A12" s="8" t="inlineStr">
        <is>
          <t>Project Manager</t>
        </is>
      </c>
      <c r="B12" s="8" t="inlineStr">
        <is>
          <t>Senior</t>
        </is>
      </c>
      <c r="C12" s="9" t="inlineStr">
        <is>
          <t>&lt;RATE&gt;</t>
        </is>
      </c>
      <c r="D12" s="9" t="inlineStr">
        <is>
          <t>&lt;RATE&gt;</t>
        </is>
      </c>
      <c r="E12" s="9" t="inlineStr">
        <is>
          <t>&lt;RATE&gt;</t>
        </is>
      </c>
    </row>
    <row r="13">
      <c r="A13" s="8" t="inlineStr">
        <is>
          <t>Technical Writer</t>
        </is>
      </c>
      <c r="B13" s="8" t="inlineStr">
        <is>
          <t>Mid</t>
        </is>
      </c>
      <c r="C13" s="9" t="inlineStr">
        <is>
          <t>&lt;RATE&gt;</t>
        </is>
      </c>
      <c r="D13" s="9" t="inlineStr">
        <is>
          <t>&lt;RATE&gt;</t>
        </is>
      </c>
      <c r="E13" s="9" t="inlineStr">
        <is>
          <t>&lt;RATE&gt;</t>
        </is>
      </c>
    </row>
    <row r="16">
      <c r="A16" s="10" t="inlineStr">
        <is>
          <t>Legend:</t>
        </is>
      </c>
    </row>
    <row r="17">
      <c r="A17" s="11" t="inlineStr">
        <is>
          <t>Yellow = edit this cell</t>
        </is>
      </c>
    </row>
    <row r="18">
      <c r="A18" s="12" t="inlineStr">
        <is>
          <t>Gray   = formula-driven (do not edit)</t>
        </is>
      </c>
    </row>
    <row r="19">
      <c r="A19" s="13" t="inlineStr">
        <is>
          <t>Red    = INTERNAL-ONLY (do not share with client)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HOURS BY PHASE (per role/seniority)</t>
        </is>
      </c>
    </row>
    <row r="2" ht="30" customHeight="1">
      <c r="A2" s="6" t="inlineStr">
        <is>
          <t>Yellow cells = edit hours per engagement. Column C selects geography (Onshore / Nearshore / Offshore) - drives rate lookup. Default hours pre-filled from doc 16. Adjust if engagement scope deviates.</t>
        </is>
      </c>
    </row>
    <row r="4" ht="32" customHeight="1">
      <c r="A4" s="14" t="inlineStr">
        <is>
          <t>Role</t>
        </is>
      </c>
      <c r="B4" s="14" t="inlineStr">
        <is>
          <t>Seniority</t>
        </is>
      </c>
      <c r="C4" s="14" t="inlineStr">
        <is>
          <t>Geography</t>
        </is>
      </c>
      <c r="D4" s="14" t="inlineStr">
        <is>
          <t>Phase 1 - Discovery</t>
        </is>
      </c>
      <c r="E4" s="14" t="inlineStr">
        <is>
          <t>Phase 2 - Foundation</t>
        </is>
      </c>
      <c r="F4" s="14" t="inlineStr">
        <is>
          <t>Phase 3 - First-Wave APIs</t>
        </is>
      </c>
      <c r="G4" s="14" t="inlineStr">
        <is>
          <t>Phase 4 - Hypercare</t>
        </is>
      </c>
      <c r="H4" s="14" t="inlineStr">
        <is>
          <t>Steady-state (per month)</t>
        </is>
      </c>
      <c r="I4" s="14" t="inlineStr">
        <is>
          <t>Annual Recurring (per year)</t>
        </is>
      </c>
    </row>
    <row r="5">
      <c r="A5" s="8" t="inlineStr">
        <is>
          <t>Solution Architect</t>
        </is>
      </c>
      <c r="B5" s="8" t="inlineStr">
        <is>
          <t>Principal</t>
        </is>
      </c>
      <c r="C5" s="15" t="inlineStr">
        <is>
          <t>Onshore</t>
        </is>
      </c>
      <c r="D5" s="16" t="n">
        <v>108</v>
      </c>
      <c r="E5" s="16" t="n">
        <v>384</v>
      </c>
      <c r="F5" s="16" t="n">
        <v>200</v>
      </c>
      <c r="G5" s="16" t="n">
        <v>64</v>
      </c>
      <c r="H5" s="16" t="n">
        <v>13</v>
      </c>
      <c r="I5" s="16" t="n">
        <v>40</v>
      </c>
    </row>
    <row r="6">
      <c r="A6" s="8" t="inlineStr">
        <is>
          <t>Integration Lead Engineer</t>
        </is>
      </c>
      <c r="B6" s="8" t="inlineStr">
        <is>
          <t>Senior</t>
        </is>
      </c>
      <c r="C6" s="15" t="inlineStr">
        <is>
          <t>Onshore</t>
        </is>
      </c>
      <c r="D6" s="16" t="n">
        <v>36</v>
      </c>
      <c r="E6" s="16" t="n">
        <v>768</v>
      </c>
      <c r="F6" s="16" t="n">
        <v>600</v>
      </c>
      <c r="G6" s="16" t="n">
        <v>192</v>
      </c>
      <c r="H6" s="16" t="n">
        <v>39</v>
      </c>
      <c r="I6" s="16" t="n">
        <v>60</v>
      </c>
    </row>
    <row r="7">
      <c r="A7" s="8" t="inlineStr">
        <is>
          <t>Integration Engineer</t>
        </is>
      </c>
      <c r="B7" s="8" t="inlineStr">
        <is>
          <t>Mid</t>
        </is>
      </c>
      <c r="C7" s="15" t="inlineStr">
        <is>
          <t>Onshore</t>
        </is>
      </c>
      <c r="D7" s="16" t="n">
        <v>0</v>
      </c>
      <c r="E7" s="16" t="n">
        <v>320</v>
      </c>
      <c r="F7" s="16" t="n">
        <v>700</v>
      </c>
      <c r="G7" s="16" t="n">
        <v>96</v>
      </c>
      <c r="H7" s="16" t="n">
        <v>26</v>
      </c>
      <c r="I7" s="16" t="n">
        <v>30</v>
      </c>
    </row>
    <row r="8">
      <c r="A8" s="8" t="inlineStr">
        <is>
          <t>Integration Engineer</t>
        </is>
      </c>
      <c r="B8" s="8" t="inlineStr">
        <is>
          <t>Junior</t>
        </is>
      </c>
      <c r="C8" s="15" t="inlineStr">
        <is>
          <t>Onshore</t>
        </is>
      </c>
      <c r="D8" s="16" t="n">
        <v>0</v>
      </c>
      <c r="E8" s="16" t="n">
        <v>160</v>
      </c>
      <c r="F8" s="16" t="n">
        <v>350</v>
      </c>
      <c r="G8" s="16" t="n">
        <v>96</v>
      </c>
      <c r="H8" s="16" t="n">
        <v>13</v>
      </c>
      <c r="I8" s="16" t="n">
        <v>20</v>
      </c>
    </row>
    <row r="9">
      <c r="A9" s="8" t="inlineStr">
        <is>
          <t>DevOps / SRE Engineer</t>
        </is>
      </c>
      <c r="B9" s="8" t="inlineStr">
        <is>
          <t>Senior</t>
        </is>
      </c>
      <c r="C9" s="15" t="inlineStr">
        <is>
          <t>Onshore</t>
        </is>
      </c>
      <c r="D9" s="16" t="n">
        <v>18</v>
      </c>
      <c r="E9" s="16" t="n">
        <v>384</v>
      </c>
      <c r="F9" s="16" t="n">
        <v>100</v>
      </c>
      <c r="G9" s="16" t="n">
        <v>128</v>
      </c>
      <c r="H9" s="16" t="n">
        <v>18</v>
      </c>
      <c r="I9" s="16" t="n">
        <v>40</v>
      </c>
    </row>
    <row r="10">
      <c r="A10" s="8" t="inlineStr">
        <is>
          <t>DevOps / SRE Engineer</t>
        </is>
      </c>
      <c r="B10" s="8" t="inlineStr">
        <is>
          <t>Mid</t>
        </is>
      </c>
      <c r="C10" s="15" t="inlineStr">
        <is>
          <t>Onshore</t>
        </is>
      </c>
      <c r="D10" s="16" t="n">
        <v>0</v>
      </c>
      <c r="E10" s="16" t="n">
        <v>192</v>
      </c>
      <c r="F10" s="16" t="n">
        <v>50</v>
      </c>
      <c r="G10" s="16" t="n">
        <v>64</v>
      </c>
      <c r="H10" s="16" t="n">
        <v>8</v>
      </c>
      <c r="I10" s="16" t="n">
        <v>20</v>
      </c>
    </row>
    <row r="11">
      <c r="A11" s="8" t="inlineStr">
        <is>
          <t>Security Engineer</t>
        </is>
      </c>
      <c r="B11" s="8" t="inlineStr">
        <is>
          <t>Senior</t>
        </is>
      </c>
      <c r="C11" s="15" t="inlineStr">
        <is>
          <t>Onshore</t>
        </is>
      </c>
      <c r="D11" s="16" t="n">
        <v>18</v>
      </c>
      <c r="E11" s="16" t="n">
        <v>240</v>
      </c>
      <c r="F11" s="16" t="n">
        <v>100</v>
      </c>
      <c r="G11" s="16" t="n">
        <v>32</v>
      </c>
      <c r="H11" s="16" t="n">
        <v>13</v>
      </c>
      <c r="I11" s="16" t="n">
        <v>80</v>
      </c>
    </row>
    <row r="12">
      <c r="A12" s="8" t="inlineStr">
        <is>
          <t>Project Manager</t>
        </is>
      </c>
      <c r="B12" s="8" t="inlineStr">
        <is>
          <t>Senior</t>
        </is>
      </c>
      <c r="C12" s="15" t="inlineStr">
        <is>
          <t>Onshore</t>
        </is>
      </c>
      <c r="D12" s="16" t="n">
        <v>36</v>
      </c>
      <c r="E12" s="16" t="n">
        <v>144</v>
      </c>
      <c r="F12" s="16" t="n">
        <v>150</v>
      </c>
      <c r="G12" s="16" t="n">
        <v>64</v>
      </c>
      <c r="H12" s="16" t="n">
        <v>13</v>
      </c>
      <c r="I12" s="16" t="n">
        <v>24</v>
      </c>
    </row>
    <row r="13">
      <c r="A13" s="8" t="inlineStr">
        <is>
          <t>Technical Writer</t>
        </is>
      </c>
      <c r="B13" s="8" t="inlineStr">
        <is>
          <t>Mid</t>
        </is>
      </c>
      <c r="C13" s="15" t="inlineStr">
        <is>
          <t>Onshore</t>
        </is>
      </c>
      <c r="D13" s="16" t="n">
        <v>0</v>
      </c>
      <c r="E13" s="16" t="n">
        <v>96</v>
      </c>
      <c r="F13" s="16" t="n">
        <v>50</v>
      </c>
      <c r="G13" s="16" t="n">
        <v>64</v>
      </c>
      <c r="H13" s="16" t="n">
        <v>6</v>
      </c>
      <c r="I13" s="16" t="n">
        <v>16</v>
      </c>
    </row>
    <row r="14">
      <c r="A14" s="17" t="inlineStr">
        <is>
          <t>TOTAL</t>
        </is>
      </c>
      <c r="D14" s="18">
        <f>SUM(D5:D13)</f>
        <v/>
      </c>
      <c r="E14" s="18">
        <f>SUM(E5:E13)</f>
        <v/>
      </c>
      <c r="F14" s="18">
        <f>SUM(F5:F13)</f>
        <v/>
      </c>
      <c r="G14" s="18">
        <f>SUM(G5:G13)</f>
        <v/>
      </c>
      <c r="H14" s="18">
        <f>SUM(H5:H13)</f>
        <v/>
      </c>
      <c r="I14" s="18">
        <f>SUM(I5:I13)</f>
        <v/>
      </c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9" t="inlineStr">
        <is>
          <t>CALCULATED COST (auto-computed) - INTERNAL ONLY</t>
        </is>
      </c>
    </row>
    <row r="2" ht="30" customHeight="1">
      <c r="A2" s="6" t="inlineStr">
        <is>
          <t>Auto-computed: hours from 02_HoursByPhase x rates from 01_RateCard. Do not edit cells. Do not share this sheet externally - it reveals rate buildup.</t>
        </is>
      </c>
    </row>
    <row r="4" ht="32" customHeight="1">
      <c r="A4" s="20" t="inlineStr">
        <is>
          <t>Role</t>
        </is>
      </c>
      <c r="B4" s="20" t="inlineStr">
        <is>
          <t>Seniority</t>
        </is>
      </c>
      <c r="C4" s="20" t="inlineStr">
        <is>
          <t>Rate (looked up)</t>
        </is>
      </c>
      <c r="D4" s="20" t="inlineStr">
        <is>
          <t>Phase 1 - Discovery</t>
        </is>
      </c>
      <c r="E4" s="20" t="inlineStr">
        <is>
          <t>Phase 2 - Foundation</t>
        </is>
      </c>
      <c r="F4" s="20" t="inlineStr">
        <is>
          <t>Phase 3 - First-Wave APIs</t>
        </is>
      </c>
      <c r="G4" s="20" t="inlineStr">
        <is>
          <t>Phase 4 - Hypercare</t>
        </is>
      </c>
      <c r="H4" s="20" t="inlineStr">
        <is>
          <t>Steady-state (per month)</t>
        </is>
      </c>
      <c r="I4" s="20" t="inlineStr">
        <is>
          <t>Annual Recurring (per year)</t>
        </is>
      </c>
    </row>
    <row r="5">
      <c r="A5" s="8" t="inlineStr">
        <is>
          <t>Solution Architect</t>
        </is>
      </c>
      <c r="B5" s="8" t="inlineStr">
        <is>
          <t>Principal</t>
        </is>
      </c>
      <c r="C5" s="21">
        <f>IFERROR(INDEX('01_RateCard'!$C$5:$E$5,MATCH('02_HoursByPhase'!C5,'01_RateCard'!$C$4:$E$4,0)),"&lt;set rate&gt;")</f>
        <v/>
      </c>
      <c r="D5" s="21">
        <f>IFERROR('02_HoursByPhase'!D5*$C5,0)</f>
        <v/>
      </c>
      <c r="E5" s="21">
        <f>IFERROR('02_HoursByPhase'!E5*$C5,0)</f>
        <v/>
      </c>
      <c r="F5" s="21">
        <f>IFERROR('02_HoursByPhase'!F5*$C5,0)</f>
        <v/>
      </c>
      <c r="G5" s="21">
        <f>IFERROR('02_HoursByPhase'!G5*$C5,0)</f>
        <v/>
      </c>
      <c r="H5" s="21">
        <f>IFERROR('02_HoursByPhase'!H5*$C5,0)</f>
        <v/>
      </c>
      <c r="I5" s="21">
        <f>IFERROR('02_HoursByPhase'!I5*$C5,0)</f>
        <v/>
      </c>
    </row>
    <row r="6">
      <c r="A6" s="8" t="inlineStr">
        <is>
          <t>Integration Lead Engineer</t>
        </is>
      </c>
      <c r="B6" s="8" t="inlineStr">
        <is>
          <t>Senior</t>
        </is>
      </c>
      <c r="C6" s="21">
        <f>IFERROR(INDEX('01_RateCard'!$C$6:$E$6,MATCH('02_HoursByPhase'!C6,'01_RateCard'!$C$4:$E$4,0)),"&lt;set rate&gt;")</f>
        <v/>
      </c>
      <c r="D6" s="21">
        <f>IFERROR('02_HoursByPhase'!D6*$C6,0)</f>
        <v/>
      </c>
      <c r="E6" s="21">
        <f>IFERROR('02_HoursByPhase'!E6*$C6,0)</f>
        <v/>
      </c>
      <c r="F6" s="21">
        <f>IFERROR('02_HoursByPhase'!F6*$C6,0)</f>
        <v/>
      </c>
      <c r="G6" s="21">
        <f>IFERROR('02_HoursByPhase'!G6*$C6,0)</f>
        <v/>
      </c>
      <c r="H6" s="21">
        <f>IFERROR('02_HoursByPhase'!H6*$C6,0)</f>
        <v/>
      </c>
      <c r="I6" s="21">
        <f>IFERROR('02_HoursByPhase'!I6*$C6,0)</f>
        <v/>
      </c>
    </row>
    <row r="7">
      <c r="A7" s="8" t="inlineStr">
        <is>
          <t>Integration Engineer</t>
        </is>
      </c>
      <c r="B7" s="8" t="inlineStr">
        <is>
          <t>Mid</t>
        </is>
      </c>
      <c r="C7" s="21">
        <f>IFERROR(INDEX('01_RateCard'!$C$7:$E$7,MATCH('02_HoursByPhase'!C7,'01_RateCard'!$C$4:$E$4,0)),"&lt;set rate&gt;")</f>
        <v/>
      </c>
      <c r="D7" s="21">
        <f>IFERROR('02_HoursByPhase'!D7*$C7,0)</f>
        <v/>
      </c>
      <c r="E7" s="21">
        <f>IFERROR('02_HoursByPhase'!E7*$C7,0)</f>
        <v/>
      </c>
      <c r="F7" s="21">
        <f>IFERROR('02_HoursByPhase'!F7*$C7,0)</f>
        <v/>
      </c>
      <c r="G7" s="21">
        <f>IFERROR('02_HoursByPhase'!G7*$C7,0)</f>
        <v/>
      </c>
      <c r="H7" s="21">
        <f>IFERROR('02_HoursByPhase'!H7*$C7,0)</f>
        <v/>
      </c>
      <c r="I7" s="21">
        <f>IFERROR('02_HoursByPhase'!I7*$C7,0)</f>
        <v/>
      </c>
    </row>
    <row r="8">
      <c r="A8" s="8" t="inlineStr">
        <is>
          <t>Integration Engineer</t>
        </is>
      </c>
      <c r="B8" s="8" t="inlineStr">
        <is>
          <t>Junior</t>
        </is>
      </c>
      <c r="C8" s="21">
        <f>IFERROR(INDEX('01_RateCard'!$C$8:$E$8,MATCH('02_HoursByPhase'!C8,'01_RateCard'!$C$4:$E$4,0)),"&lt;set rate&gt;")</f>
        <v/>
      </c>
      <c r="D8" s="21">
        <f>IFERROR('02_HoursByPhase'!D8*$C8,0)</f>
        <v/>
      </c>
      <c r="E8" s="21">
        <f>IFERROR('02_HoursByPhase'!E8*$C8,0)</f>
        <v/>
      </c>
      <c r="F8" s="21">
        <f>IFERROR('02_HoursByPhase'!F8*$C8,0)</f>
        <v/>
      </c>
      <c r="G8" s="21">
        <f>IFERROR('02_HoursByPhase'!G8*$C8,0)</f>
        <v/>
      </c>
      <c r="H8" s="21">
        <f>IFERROR('02_HoursByPhase'!H8*$C8,0)</f>
        <v/>
      </c>
      <c r="I8" s="21">
        <f>IFERROR('02_HoursByPhase'!I8*$C8,0)</f>
        <v/>
      </c>
    </row>
    <row r="9">
      <c r="A9" s="8" t="inlineStr">
        <is>
          <t>DevOps / SRE Engineer</t>
        </is>
      </c>
      <c r="B9" s="8" t="inlineStr">
        <is>
          <t>Senior</t>
        </is>
      </c>
      <c r="C9" s="21">
        <f>IFERROR(INDEX('01_RateCard'!$C$9:$E$9,MATCH('02_HoursByPhase'!C9,'01_RateCard'!$C$4:$E$4,0)),"&lt;set rate&gt;")</f>
        <v/>
      </c>
      <c r="D9" s="21">
        <f>IFERROR('02_HoursByPhase'!D9*$C9,0)</f>
        <v/>
      </c>
      <c r="E9" s="21">
        <f>IFERROR('02_HoursByPhase'!E9*$C9,0)</f>
        <v/>
      </c>
      <c r="F9" s="21">
        <f>IFERROR('02_HoursByPhase'!F9*$C9,0)</f>
        <v/>
      </c>
      <c r="G9" s="21">
        <f>IFERROR('02_HoursByPhase'!G9*$C9,0)</f>
        <v/>
      </c>
      <c r="H9" s="21">
        <f>IFERROR('02_HoursByPhase'!H9*$C9,0)</f>
        <v/>
      </c>
      <c r="I9" s="21">
        <f>IFERROR('02_HoursByPhase'!I9*$C9,0)</f>
        <v/>
      </c>
    </row>
    <row r="10">
      <c r="A10" s="8" t="inlineStr">
        <is>
          <t>DevOps / SRE Engineer</t>
        </is>
      </c>
      <c r="B10" s="8" t="inlineStr">
        <is>
          <t>Mid</t>
        </is>
      </c>
      <c r="C10" s="21">
        <f>IFERROR(INDEX('01_RateCard'!$C$10:$E$10,MATCH('02_HoursByPhase'!C10,'01_RateCard'!$C$4:$E$4,0)),"&lt;set rate&gt;")</f>
        <v/>
      </c>
      <c r="D10" s="21">
        <f>IFERROR('02_HoursByPhase'!D10*$C10,0)</f>
        <v/>
      </c>
      <c r="E10" s="21">
        <f>IFERROR('02_HoursByPhase'!E10*$C10,0)</f>
        <v/>
      </c>
      <c r="F10" s="21">
        <f>IFERROR('02_HoursByPhase'!F10*$C10,0)</f>
        <v/>
      </c>
      <c r="G10" s="21">
        <f>IFERROR('02_HoursByPhase'!G10*$C10,0)</f>
        <v/>
      </c>
      <c r="H10" s="21">
        <f>IFERROR('02_HoursByPhase'!H10*$C10,0)</f>
        <v/>
      </c>
      <c r="I10" s="21">
        <f>IFERROR('02_HoursByPhase'!I10*$C10,0)</f>
        <v/>
      </c>
    </row>
    <row r="11">
      <c r="A11" s="8" t="inlineStr">
        <is>
          <t>Security Engineer</t>
        </is>
      </c>
      <c r="B11" s="8" t="inlineStr">
        <is>
          <t>Senior</t>
        </is>
      </c>
      <c r="C11" s="21">
        <f>IFERROR(INDEX('01_RateCard'!$C$11:$E$11,MATCH('02_HoursByPhase'!C11,'01_RateCard'!$C$4:$E$4,0)),"&lt;set rate&gt;")</f>
        <v/>
      </c>
      <c r="D11" s="21">
        <f>IFERROR('02_HoursByPhase'!D11*$C11,0)</f>
        <v/>
      </c>
      <c r="E11" s="21">
        <f>IFERROR('02_HoursByPhase'!E11*$C11,0)</f>
        <v/>
      </c>
      <c r="F11" s="21">
        <f>IFERROR('02_HoursByPhase'!F11*$C11,0)</f>
        <v/>
      </c>
      <c r="G11" s="21">
        <f>IFERROR('02_HoursByPhase'!G11*$C11,0)</f>
        <v/>
      </c>
      <c r="H11" s="21">
        <f>IFERROR('02_HoursByPhase'!H11*$C11,0)</f>
        <v/>
      </c>
      <c r="I11" s="21">
        <f>IFERROR('02_HoursByPhase'!I11*$C11,0)</f>
        <v/>
      </c>
    </row>
    <row r="12">
      <c r="A12" s="8" t="inlineStr">
        <is>
          <t>Project Manager</t>
        </is>
      </c>
      <c r="B12" s="8" t="inlineStr">
        <is>
          <t>Senior</t>
        </is>
      </c>
      <c r="C12" s="21">
        <f>IFERROR(INDEX('01_RateCard'!$C$12:$E$12,MATCH('02_HoursByPhase'!C12,'01_RateCard'!$C$4:$E$4,0)),"&lt;set rate&gt;")</f>
        <v/>
      </c>
      <c r="D12" s="21">
        <f>IFERROR('02_HoursByPhase'!D12*$C12,0)</f>
        <v/>
      </c>
      <c r="E12" s="21">
        <f>IFERROR('02_HoursByPhase'!E12*$C12,0)</f>
        <v/>
      </c>
      <c r="F12" s="21">
        <f>IFERROR('02_HoursByPhase'!F12*$C12,0)</f>
        <v/>
      </c>
      <c r="G12" s="21">
        <f>IFERROR('02_HoursByPhase'!G12*$C12,0)</f>
        <v/>
      </c>
      <c r="H12" s="21">
        <f>IFERROR('02_HoursByPhase'!H12*$C12,0)</f>
        <v/>
      </c>
      <c r="I12" s="21">
        <f>IFERROR('02_HoursByPhase'!I12*$C12,0)</f>
        <v/>
      </c>
    </row>
    <row r="13">
      <c r="A13" s="8" t="inlineStr">
        <is>
          <t>Technical Writer</t>
        </is>
      </c>
      <c r="B13" s="8" t="inlineStr">
        <is>
          <t>Mid</t>
        </is>
      </c>
      <c r="C13" s="21">
        <f>IFERROR(INDEX('01_RateCard'!$C$13:$E$13,MATCH('02_HoursByPhase'!C13,'01_RateCard'!$C$4:$E$4,0)),"&lt;set rate&gt;")</f>
        <v/>
      </c>
      <c r="D13" s="21">
        <f>IFERROR('02_HoursByPhase'!D13*$C13,0)</f>
        <v/>
      </c>
      <c r="E13" s="21">
        <f>IFERROR('02_HoursByPhase'!E13*$C13,0)</f>
        <v/>
      </c>
      <c r="F13" s="21">
        <f>IFERROR('02_HoursByPhase'!F13*$C13,0)</f>
        <v/>
      </c>
      <c r="G13" s="21">
        <f>IFERROR('02_HoursByPhase'!G13*$C13,0)</f>
        <v/>
      </c>
      <c r="H13" s="21">
        <f>IFERROR('02_HoursByPhase'!H13*$C13,0)</f>
        <v/>
      </c>
      <c r="I13" s="21">
        <f>IFERROR('02_HoursByPhase'!I13*$C13,0)</f>
        <v/>
      </c>
    </row>
    <row r="14">
      <c r="A14" s="17" t="inlineStr">
        <is>
          <t>SUBTOTAL (pre-discount, pre-margin)</t>
        </is>
      </c>
      <c r="D14" s="22">
        <f>SUM(D5:D13)</f>
        <v/>
      </c>
      <c r="E14" s="22">
        <f>SUM(E5:E13)</f>
        <v/>
      </c>
      <c r="F14" s="22">
        <f>SUM(F5:F13)</f>
        <v/>
      </c>
      <c r="G14" s="22">
        <f>SUM(G5:G13)</f>
        <v/>
      </c>
      <c r="H14" s="22">
        <f>SUM(H5:H13)</f>
        <v/>
      </c>
      <c r="I14" s="22">
        <f>SUM(I5:I13)</f>
        <v/>
      </c>
    </row>
  </sheetData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16" customWidth="1" min="3" max="3"/>
    <col width="14" customWidth="1" min="4" max="4"/>
  </cols>
  <sheetData>
    <row r="1">
      <c r="A1" s="19" t="inlineStr">
        <is>
          <t>DISCOUNTS - INTERNAL ONLY</t>
        </is>
      </c>
    </row>
    <row r="2" ht="30" customHeight="1">
      <c r="A2" s="6" t="inlineStr">
        <is>
          <t>Set discount % per type IF the trigger applies to this engagement. Discount cells are yellow (edit). Aggregate discount in green is formula-driven.</t>
        </is>
      </c>
    </row>
    <row r="4" ht="26" customHeight="1">
      <c r="A4" s="23" t="inlineStr">
        <is>
          <t>Discount Type</t>
        </is>
      </c>
      <c r="B4" s="23" t="inlineStr">
        <is>
          <t>Trigger Description</t>
        </is>
      </c>
      <c r="C4" s="23" t="inlineStr">
        <is>
          <t>Applies? (Y/N)</t>
        </is>
      </c>
      <c r="D4" s="23" t="inlineStr">
        <is>
          <t>Discount %</t>
        </is>
      </c>
    </row>
    <row r="5">
      <c r="A5" s="8" t="inlineStr">
        <is>
          <t>Volume / multi-year</t>
        </is>
      </c>
      <c r="B5" s="24" t="inlineStr">
        <is>
          <t>Engagement total &gt; threshold OR multi-year commit</t>
        </is>
      </c>
      <c r="C5" s="25" t="inlineStr">
        <is>
          <t>N</t>
        </is>
      </c>
      <c r="D5" s="26" t="n">
        <v>0</v>
      </c>
    </row>
    <row r="6">
      <c r="A6" s="8" t="inlineStr">
        <is>
          <t>Retainer commitment</t>
        </is>
      </c>
      <c r="B6" s="24" t="inlineStr">
        <is>
          <t>12-month retainer signed</t>
        </is>
      </c>
      <c r="C6" s="25" t="inlineStr">
        <is>
          <t>N</t>
        </is>
      </c>
      <c r="D6" s="26" t="n">
        <v>0</v>
      </c>
    </row>
    <row r="7">
      <c r="A7" s="8" t="inlineStr">
        <is>
          <t>Multi-engagement / framework</t>
        </is>
      </c>
      <c r="B7" s="24" t="inlineStr">
        <is>
          <t>Master agreement covering multiple projects</t>
        </is>
      </c>
      <c r="C7" s="25" t="inlineStr">
        <is>
          <t>N</t>
        </is>
      </c>
      <c r="D7" s="26" t="n">
        <v>0</v>
      </c>
    </row>
    <row r="8">
      <c r="A8" s="8" t="inlineStr">
        <is>
          <t>Pre-payment</t>
        </is>
      </c>
      <c r="B8" s="24" t="inlineStr">
        <is>
          <t>Quarterly or annual pre-payment</t>
        </is>
      </c>
      <c r="C8" s="25" t="inlineStr">
        <is>
          <t>N</t>
        </is>
      </c>
      <c r="D8" s="26" t="n">
        <v>0</v>
      </c>
    </row>
    <row r="9">
      <c r="A9" s="8" t="inlineStr">
        <is>
          <t>Reference / case-study</t>
        </is>
      </c>
      <c r="B9" s="24" t="inlineStr">
        <is>
          <t>Client agrees to be case study</t>
        </is>
      </c>
      <c r="C9" s="25" t="inlineStr">
        <is>
          <t>N</t>
        </is>
      </c>
      <c r="D9" s="26" t="n">
        <v>0</v>
      </c>
    </row>
    <row r="10">
      <c r="A10" s="8" t="inlineStr">
        <is>
          <t>Beta / first-of-its-kind</t>
        </is>
      </c>
      <c r="B10" s="24" t="inlineStr">
        <is>
          <t>Novel methodology, risk-sharing</t>
        </is>
      </c>
      <c r="C10" s="25" t="inlineStr">
        <is>
          <t>N</t>
        </is>
      </c>
      <c r="D10" s="26" t="n">
        <v>0</v>
      </c>
    </row>
    <row r="11">
      <c r="A11" s="8" t="inlineStr">
        <is>
          <t>Other (named in SOW)</t>
        </is>
      </c>
      <c r="B11" s="24" t="inlineStr">
        <is>
          <t>Custom discount with named justification</t>
        </is>
      </c>
      <c r="C11" s="25" t="inlineStr">
        <is>
          <t>N</t>
        </is>
      </c>
      <c r="D11" s="26" t="n">
        <v>0</v>
      </c>
    </row>
    <row r="13">
      <c r="A13" s="27" t="inlineStr">
        <is>
          <t>AGGREGATE DISCOUNT (sum of applies=Y)</t>
        </is>
      </c>
      <c r="D13" s="28">
        <f>SUMPRODUCT((C5:C11="Y")*D5:D11)</f>
        <v/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</cols>
  <sheetData>
    <row r="1">
      <c r="A1" s="19" t="inlineStr">
        <is>
          <t>RISK + MARGIN - INTERNAL ONLY</t>
        </is>
      </c>
    </row>
    <row r="2" ht="30" customHeight="1">
      <c r="A2" s="6" t="inlineStr">
        <is>
          <t>Risk markup is applied per phase to fixed-bid phases especially. Margin % is per role (not used in summary calc - shown for transparency).</t>
        </is>
      </c>
    </row>
    <row r="4">
      <c r="A4" s="29" t="inlineStr">
        <is>
          <t>RISK MARKUP PER PHASE</t>
        </is>
      </c>
    </row>
    <row r="5">
      <c r="A5" s="23" t="inlineStr">
        <is>
          <t>Phase</t>
        </is>
      </c>
      <c r="B5" s="23" t="inlineStr">
        <is>
          <t>Risk Markup %</t>
        </is>
      </c>
    </row>
    <row r="6">
      <c r="A6" s="8" t="inlineStr">
        <is>
          <t>Phase 1 - Discovery</t>
        </is>
      </c>
      <c r="B6" s="30" t="n">
        <v>0.05</v>
      </c>
    </row>
    <row r="7">
      <c r="A7" s="8" t="inlineStr">
        <is>
          <t>Phase 2 - Foundation</t>
        </is>
      </c>
      <c r="B7" s="30" t="n">
        <v>0.15</v>
      </c>
    </row>
    <row r="8">
      <c r="A8" s="8" t="inlineStr">
        <is>
          <t>Phase 3 - First-Wave APIs</t>
        </is>
      </c>
      <c r="B8" s="30" t="n">
        <v>0.08</v>
      </c>
    </row>
    <row r="9">
      <c r="A9" s="8" t="inlineStr">
        <is>
          <t>Phase 4 - Hypercare</t>
        </is>
      </c>
      <c r="B9" s="30" t="n">
        <v>0.1</v>
      </c>
    </row>
    <row r="10">
      <c r="A10" s="8" t="inlineStr">
        <is>
          <t>Steady-state (per month)</t>
        </is>
      </c>
      <c r="B10" s="30" t="n">
        <v>0.03</v>
      </c>
    </row>
    <row r="11">
      <c r="A11" s="8" t="inlineStr">
        <is>
          <t>Annual Recurring (per year)</t>
        </is>
      </c>
      <c r="B11" s="30" t="n">
        <v>0.05</v>
      </c>
    </row>
    <row r="13">
      <c r="A13" s="29" t="inlineStr">
        <is>
          <t>MARGIN % PER ROLE (informational)</t>
        </is>
      </c>
    </row>
    <row r="14">
      <c r="A14" s="23" t="inlineStr">
        <is>
          <t>Role</t>
        </is>
      </c>
      <c r="B14" s="23" t="inlineStr">
        <is>
          <t>Seniority</t>
        </is>
      </c>
      <c r="C14" s="23" t="inlineStr">
        <is>
          <t>Margin %</t>
        </is>
      </c>
    </row>
    <row r="15">
      <c r="A15" s="8" t="inlineStr">
        <is>
          <t>Solution Architect</t>
        </is>
      </c>
      <c r="B15" s="8" t="inlineStr">
        <is>
          <t>Principal</t>
        </is>
      </c>
      <c r="C15" s="30" t="n">
        <v>0.5</v>
      </c>
    </row>
    <row r="16">
      <c r="A16" s="8" t="inlineStr">
        <is>
          <t>Integration Lead Engineer</t>
        </is>
      </c>
      <c r="B16" s="8" t="inlineStr">
        <is>
          <t>Senior</t>
        </is>
      </c>
      <c r="C16" s="30" t="n">
        <v>0.4</v>
      </c>
    </row>
    <row r="17">
      <c r="A17" s="8" t="inlineStr">
        <is>
          <t>Integration Engineer</t>
        </is>
      </c>
      <c r="B17" s="8" t="inlineStr">
        <is>
          <t>Mid</t>
        </is>
      </c>
      <c r="C17" s="30" t="n">
        <v>0.3</v>
      </c>
    </row>
    <row r="18">
      <c r="A18" s="8" t="inlineStr">
        <is>
          <t>Integration Engineer</t>
        </is>
      </c>
      <c r="B18" s="8" t="inlineStr">
        <is>
          <t>Junior</t>
        </is>
      </c>
      <c r="C18" s="30" t="n">
        <v>0.25</v>
      </c>
    </row>
    <row r="19">
      <c r="A19" s="8" t="inlineStr">
        <is>
          <t>DevOps / SRE Engineer</t>
        </is>
      </c>
      <c r="B19" s="8" t="inlineStr">
        <is>
          <t>Senior</t>
        </is>
      </c>
      <c r="C19" s="30" t="n">
        <v>0.4</v>
      </c>
    </row>
    <row r="20">
      <c r="A20" s="8" t="inlineStr">
        <is>
          <t>DevOps / SRE Engineer</t>
        </is>
      </c>
      <c r="B20" s="8" t="inlineStr">
        <is>
          <t>Mid</t>
        </is>
      </c>
      <c r="C20" s="30" t="n">
        <v>0.3</v>
      </c>
    </row>
    <row r="21">
      <c r="A21" s="8" t="inlineStr">
        <is>
          <t>Security Engineer</t>
        </is>
      </c>
      <c r="B21" s="8" t="inlineStr">
        <is>
          <t>Senior</t>
        </is>
      </c>
      <c r="C21" s="30" t="n">
        <v>0.45</v>
      </c>
    </row>
    <row r="22">
      <c r="A22" s="8" t="inlineStr">
        <is>
          <t>Project Manager</t>
        </is>
      </c>
      <c r="B22" s="8" t="inlineStr">
        <is>
          <t>Senior</t>
        </is>
      </c>
      <c r="C22" s="30" t="n">
        <v>0.3</v>
      </c>
    </row>
    <row r="23">
      <c r="A23" s="8" t="inlineStr">
        <is>
          <t>Technical Writer</t>
        </is>
      </c>
      <c r="B23" s="8" t="inlineStr">
        <is>
          <t>Mid</t>
        </is>
      </c>
      <c r="C23" s="30" t="n">
        <v>0.25</v>
      </c>
    </row>
  </sheetData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CLIENT-FACING SUMMARY</t>
        </is>
      </c>
    </row>
    <row r="2" ht="30" customHeight="1">
      <c r="A2" s="6" t="inlineStr">
        <is>
          <t>Phase-level totals. Safe to share with client. Numbers pull from other sheets - do not edit cells here directly.</t>
        </is>
      </c>
    </row>
    <row r="4" ht="26" customHeight="1">
      <c r="A4" s="31" t="inlineStr">
        <is>
          <t>Phase</t>
        </is>
      </c>
      <c r="B4" s="31" t="inlineStr">
        <is>
          <t>Total Hours</t>
        </is>
      </c>
      <c r="C4" s="31" t="inlineStr">
        <is>
          <t>Subtotal Cost</t>
        </is>
      </c>
      <c r="D4" s="31" t="inlineStr">
        <is>
          <t>After Discount</t>
        </is>
      </c>
      <c r="E4" s="31" t="inlineStr">
        <is>
          <t>After Risk Markup</t>
        </is>
      </c>
      <c r="F4" s="31" t="inlineStr">
        <is>
          <t>FINAL</t>
        </is>
      </c>
    </row>
    <row r="5">
      <c r="A5" s="8" t="inlineStr">
        <is>
          <t>Phase 1 - Discovery</t>
        </is>
      </c>
      <c r="B5" s="32">
        <f>'02_HoursByPhase'!D14</f>
        <v/>
      </c>
      <c r="C5" s="33">
        <f>'03_CalculatedCost'!D14</f>
        <v/>
      </c>
      <c r="D5" s="33">
        <f>C5*(1-'04_Discounts'!$D$13)</f>
        <v/>
      </c>
      <c r="E5" s="33">
        <f>D5*(1+'05_RiskMargin'!$B$6)</f>
        <v/>
      </c>
      <c r="F5" s="34">
        <f>E5</f>
        <v/>
      </c>
    </row>
    <row r="6">
      <c r="A6" s="8" t="inlineStr">
        <is>
          <t>Phase 2 - Foundation</t>
        </is>
      </c>
      <c r="B6" s="32">
        <f>'02_HoursByPhase'!E14</f>
        <v/>
      </c>
      <c r="C6" s="33">
        <f>'03_CalculatedCost'!E14</f>
        <v/>
      </c>
      <c r="D6" s="33">
        <f>C6*(1-'04_Discounts'!$D$13)</f>
        <v/>
      </c>
      <c r="E6" s="33">
        <f>D6*(1+'05_RiskMargin'!$B$7)</f>
        <v/>
      </c>
      <c r="F6" s="34">
        <f>E6</f>
        <v/>
      </c>
    </row>
    <row r="7">
      <c r="A7" s="8" t="inlineStr">
        <is>
          <t>Phase 3 - First-Wave APIs</t>
        </is>
      </c>
      <c r="B7" s="32">
        <f>'02_HoursByPhase'!F14</f>
        <v/>
      </c>
      <c r="C7" s="33">
        <f>'03_CalculatedCost'!F14</f>
        <v/>
      </c>
      <c r="D7" s="33">
        <f>C7*(1-'04_Discounts'!$D$13)</f>
        <v/>
      </c>
      <c r="E7" s="33">
        <f>D7*(1+'05_RiskMargin'!$B$8)</f>
        <v/>
      </c>
      <c r="F7" s="34">
        <f>E7</f>
        <v/>
      </c>
    </row>
    <row r="8">
      <c r="A8" s="8" t="inlineStr">
        <is>
          <t>Phase 4 - Hypercare</t>
        </is>
      </c>
      <c r="B8" s="32">
        <f>'02_HoursByPhase'!G14</f>
        <v/>
      </c>
      <c r="C8" s="33">
        <f>'03_CalculatedCost'!G14</f>
        <v/>
      </c>
      <c r="D8" s="33">
        <f>C8*(1-'04_Discounts'!$D$13)</f>
        <v/>
      </c>
      <c r="E8" s="33">
        <f>D8*(1+'05_RiskMargin'!$B$9)</f>
        <v/>
      </c>
      <c r="F8" s="34">
        <f>E8</f>
        <v/>
      </c>
    </row>
    <row r="9">
      <c r="A9" s="8" t="inlineStr">
        <is>
          <t>Steady-state (per month)</t>
        </is>
      </c>
      <c r="B9" s="32">
        <f>'02_HoursByPhase'!H14</f>
        <v/>
      </c>
      <c r="C9" s="33">
        <f>'03_CalculatedCost'!H14</f>
        <v/>
      </c>
      <c r="D9" s="33">
        <f>C9*(1-'04_Discounts'!$D$13)</f>
        <v/>
      </c>
      <c r="E9" s="33">
        <f>D9*(1+'05_RiskMargin'!$B$10)</f>
        <v/>
      </c>
      <c r="F9" s="34">
        <f>E9</f>
        <v/>
      </c>
    </row>
    <row r="10">
      <c r="A10" s="8" t="inlineStr">
        <is>
          <t>Annual Recurring (per year)</t>
        </is>
      </c>
      <c r="B10" s="32">
        <f>'02_HoursByPhase'!I14</f>
        <v/>
      </c>
      <c r="C10" s="33">
        <f>'03_CalculatedCost'!I14</f>
        <v/>
      </c>
      <c r="D10" s="33">
        <f>C10*(1-'04_Discounts'!$D$13)</f>
        <v/>
      </c>
      <c r="E10" s="33">
        <f>D10*(1+'05_RiskMargin'!$B$11)</f>
        <v/>
      </c>
      <c r="F10" s="34">
        <f>E10</f>
        <v/>
      </c>
    </row>
    <row r="12">
      <c r="A12" s="17" t="inlineStr">
        <is>
          <t>YEAR 1 INITIAL DELIVERY (Phases 1-4 only)</t>
        </is>
      </c>
      <c r="B12" s="35">
        <f>SUM(B5:B8)</f>
        <v/>
      </c>
      <c r="F12" s="22">
        <f>SUM(F5:F8)</f>
        <v/>
      </c>
    </row>
    <row r="13">
      <c r="A13" s="17" t="inlineStr">
        <is>
          <t>YEAR 2 ONGOING (12 x SS) + Annual</t>
        </is>
      </c>
      <c r="B13" s="35">
        <f>12*B9+B10</f>
        <v/>
      </c>
      <c r="F13" s="22">
        <f>12*F9+F10</f>
        <v/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2026-06-08T15:10:12Z</dcterms:created>
  <dcterms:modified xmlns:dcterms="http://purl.org/dc/terms/" xmlns:xsi="http://www.w3.org/2001/XMLSchema-instance" xsi:type="dcterms:W3CDTF">2026-06-08T15:10:12Z</dcterms:modified>
</cp:coreProperties>
</file>